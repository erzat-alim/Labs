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5879D153-5EF4-494E-A11A-2B5722C152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C4" i="1" s="1"/>
  <c r="D4" i="1" s="1"/>
  <c r="E4" i="1" s="1"/>
  <c r="C5" i="1" l="1"/>
  <c r="D5" i="1" s="1"/>
  <c r="E5" i="1" s="1"/>
  <c r="C6" i="1" l="1"/>
  <c r="C7" i="1" s="1"/>
  <c r="D6" i="1" l="1"/>
  <c r="E6" i="1" s="1"/>
  <c r="C8" i="1"/>
  <c r="D7" i="1"/>
  <c r="E7" i="1" s="1"/>
  <c r="C9" i="1" l="1"/>
  <c r="D8" i="1"/>
  <c r="E8" i="1" s="1"/>
  <c r="C10" i="1" l="1"/>
  <c r="D9" i="1"/>
  <c r="E9" i="1" s="1"/>
  <c r="C11" i="1" l="1"/>
  <c r="D10" i="1"/>
  <c r="E10" i="1" s="1"/>
  <c r="C12" i="1" l="1"/>
  <c r="D11" i="1"/>
  <c r="E11" i="1" s="1"/>
  <c r="C13" i="1" l="1"/>
  <c r="D13" i="1" s="1"/>
  <c r="E13" i="1" s="1"/>
  <c r="D12" i="1"/>
  <c r="E12" i="1" s="1"/>
</calcChain>
</file>

<file path=xl/sharedStrings.xml><?xml version="1.0" encoding="utf-8"?>
<sst xmlns="http://schemas.openxmlformats.org/spreadsheetml/2006/main" count="13" uniqueCount="13">
  <si>
    <t>Число каналов n</t>
  </si>
  <si>
    <t>B</t>
  </si>
  <si>
    <t>A</t>
  </si>
  <si>
    <t>M</t>
  </si>
  <si>
    <t>Интенсивность μ =</t>
  </si>
  <si>
    <t>Расчет относительной (B) и абсолютной (A) пропускной способности;</t>
  </si>
  <si>
    <t>среднего числа занятых каналов M (n=2)</t>
  </si>
  <si>
    <r>
      <rPr>
        <b/>
        <sz val="11"/>
        <color theme="1"/>
        <rFont val="Calibri"/>
        <family val="2"/>
        <charset val="204"/>
      </rPr>
      <t>Ʃ</t>
    </r>
    <r>
      <rPr>
        <b/>
        <sz val="11"/>
        <color theme="1"/>
        <rFont val="Calibri"/>
        <family val="2"/>
        <charset val="204"/>
        <scheme val="minor"/>
      </rPr>
      <t>a^i/i!</t>
    </r>
  </si>
  <si>
    <r>
      <t>Вероятность P</t>
    </r>
    <r>
      <rPr>
        <b/>
        <sz val="8"/>
        <color theme="1"/>
        <rFont val="Calibri"/>
        <family val="2"/>
        <charset val="204"/>
        <scheme val="minor"/>
      </rPr>
      <t>отк</t>
    </r>
  </si>
  <si>
    <r>
      <t>Вероятность P</t>
    </r>
    <r>
      <rPr>
        <b/>
        <sz val="8"/>
        <color theme="1"/>
        <rFont val="Calibri"/>
        <family val="2"/>
        <charset val="204"/>
        <scheme val="minor"/>
      </rPr>
      <t>0</t>
    </r>
  </si>
  <si>
    <r>
      <t>P</t>
    </r>
    <r>
      <rPr>
        <b/>
        <sz val="8"/>
        <color theme="1"/>
        <rFont val="Calibri"/>
        <family val="2"/>
        <charset val="204"/>
        <scheme val="minor"/>
      </rPr>
      <t>отк</t>
    </r>
  </si>
  <si>
    <t>Нагрузка α =</t>
  </si>
  <si>
    <t>Интенсивность λ=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</si>
</sst>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2" xfId="0" applyFont="1" applyFill="1" applyBorder="1"/>
    <xf numFmtId="0" fontId="1" fillId="0" borderId="4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right"/>
    </xf>
    <xf numFmtId="0" fontId="1" fillId="0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Вероятность отказа в обслуживании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Лист1!$B$4:$B$13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Лист1!$E$4:$E$13</c:f>
              <c:numCache>
                <c:formatCode>General</c:formatCode>
                <c:ptCount val="10"/>
                <c:pt idx="0">
                  <c:v>0.70000000000000007</c:v>
                </c:pt>
                <c:pt idx="1">
                  <c:v>0.44954128440366975</c:v>
                </c:pt>
                <c:pt idx="2">
                  <c:v>0.25906344410876136</c:v>
                </c:pt>
                <c:pt idx="3">
                  <c:v>0.13128109792771617</c:v>
                </c:pt>
                <c:pt idx="4">
                  <c:v>5.7727844144781611E-2</c:v>
                </c:pt>
                <c:pt idx="5">
                  <c:v>2.1956793366435225E-2</c:v>
                </c:pt>
                <c:pt idx="6">
                  <c:v>7.2657535721996659E-3</c:v>
                </c:pt>
                <c:pt idx="7">
                  <c:v>2.1146967062235884E-3</c:v>
                </c:pt>
                <c:pt idx="8">
                  <c:v>5.4795428310154342E-4</c:v>
                </c:pt>
                <c:pt idx="9">
                  <c:v>1.2783965432359488E-4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F-4498-AF70-DA8291D4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444895"/>
        <c:axId val="834437215"/>
      </c:lineChart>
      <c:catAx>
        <c:axId val="83444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437215"/>
        <c:crosses val="autoZero"/>
        <c:auto val="1"/>
        <c:lblAlgn val="ctr"/>
        <c:lblOffset val="100"/>
        <c:noMultiLvlLbl val="0"/>
      </c:catAx>
      <c:valAx>
        <c:axId val="83443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444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3810</xdr:rowOff>
    </xdr:from>
    <xdr:to>
      <xdr:col>13</xdr:col>
      <xdr:colOff>144780</xdr:colOff>
      <xdr:row>18</xdr:row>
      <xdr:rowOff>3810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FDAF754-6DB9-6FF4-0C6B-6F169BD52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topLeftCell="B1" workbookViewId="0">
      <selection activeCell="Q11" sqref="Q11"/>
    </sheetView>
  </sheetViews>
  <sheetFormatPr defaultRowHeight="14.4" x14ac:dyDescent="0.3"/>
  <cols>
    <col min="2" max="2" width="16.88671875" customWidth="1"/>
    <col min="4" max="4" width="18" customWidth="1"/>
    <col min="5" max="5" width="21.109375" customWidth="1"/>
    <col min="7" max="7" width="12" customWidth="1"/>
    <col min="8" max="8" width="8.109375" customWidth="1"/>
  </cols>
  <sheetData>
    <row r="1" spans="2:11" x14ac:dyDescent="0.3">
      <c r="B1" s="1"/>
      <c r="C1" s="1"/>
      <c r="D1" s="1"/>
      <c r="E1" s="1"/>
      <c r="F1" s="1"/>
      <c r="G1" s="1"/>
      <c r="H1" s="2"/>
      <c r="I1" s="1"/>
      <c r="J1" s="1"/>
      <c r="K1" s="1"/>
    </row>
    <row r="2" spans="2:11" x14ac:dyDescent="0.3">
      <c r="B2" s="3" t="s">
        <v>12</v>
      </c>
      <c r="C2" s="4">
        <v>14</v>
      </c>
      <c r="D2" s="5" t="s">
        <v>4</v>
      </c>
      <c r="E2" s="4">
        <v>6</v>
      </c>
      <c r="F2" s="1"/>
      <c r="G2" s="3" t="s">
        <v>11</v>
      </c>
      <c r="H2" s="4">
        <f>C2/E2</f>
        <v>2.3333333333333335</v>
      </c>
      <c r="I2" s="1"/>
      <c r="J2" s="1"/>
      <c r="K2" s="1"/>
    </row>
    <row r="3" spans="2:11" x14ac:dyDescent="0.3">
      <c r="B3" s="6" t="s">
        <v>0</v>
      </c>
      <c r="C3" s="6" t="s">
        <v>7</v>
      </c>
      <c r="D3" s="6" t="s">
        <v>9</v>
      </c>
      <c r="E3" s="6" t="s">
        <v>8</v>
      </c>
      <c r="F3" s="1"/>
      <c r="G3" s="1"/>
      <c r="H3" s="1"/>
      <c r="I3" s="1"/>
      <c r="J3" s="1"/>
      <c r="K3" s="1"/>
    </row>
    <row r="4" spans="2:11" x14ac:dyDescent="0.3">
      <c r="B4" s="7">
        <v>1</v>
      </c>
      <c r="C4" s="8">
        <f>1+H2</f>
        <v>3.3333333333333335</v>
      </c>
      <c r="D4" s="8">
        <f>1/C4</f>
        <v>0.3</v>
      </c>
      <c r="E4" s="8">
        <f>D4*($H$2^B4/FACT(B4))</f>
        <v>0.70000000000000007</v>
      </c>
      <c r="F4" s="1"/>
      <c r="G4" s="1"/>
      <c r="H4" s="1"/>
      <c r="I4" s="1"/>
      <c r="J4" s="1"/>
      <c r="K4" s="1"/>
    </row>
    <row r="5" spans="2:11" x14ac:dyDescent="0.3">
      <c r="B5" s="7">
        <v>2</v>
      </c>
      <c r="C5" s="8">
        <f>C4+($H$2^B5)/FACT(B5)</f>
        <v>6.0555555555555562</v>
      </c>
      <c r="D5" s="8">
        <f t="shared" ref="D5:D13" si="0">1/C5</f>
        <v>0.16513761467889906</v>
      </c>
      <c r="E5" s="8">
        <f t="shared" ref="E5:E13" si="1">D5*($H$2^B5/FACT(B5))</f>
        <v>0.44954128440366975</v>
      </c>
      <c r="F5" s="1"/>
      <c r="G5" s="1"/>
      <c r="H5" s="1"/>
      <c r="I5" s="1"/>
      <c r="J5" s="1"/>
      <c r="K5" s="1"/>
    </row>
    <row r="6" spans="2:11" x14ac:dyDescent="0.3">
      <c r="B6" s="7">
        <v>3</v>
      </c>
      <c r="C6" s="8">
        <f t="shared" ref="C6:C13" si="2">C5+($H$2^B6)/FACT(B6)</f>
        <v>8.1728395061728403</v>
      </c>
      <c r="D6" s="8">
        <f t="shared" si="0"/>
        <v>0.12235649546827794</v>
      </c>
      <c r="E6" s="8">
        <f t="shared" si="1"/>
        <v>0.25906344410876136</v>
      </c>
      <c r="F6" s="1"/>
      <c r="G6" s="1"/>
      <c r="H6" s="1"/>
      <c r="I6" s="1"/>
      <c r="J6" s="1"/>
      <c r="K6" s="1"/>
    </row>
    <row r="7" spans="2:11" x14ac:dyDescent="0.3">
      <c r="B7" s="7">
        <v>4</v>
      </c>
      <c r="C7" s="8">
        <f t="shared" si="2"/>
        <v>9.4079218106995892</v>
      </c>
      <c r="D7" s="8">
        <f t="shared" si="0"/>
        <v>0.10629340040461478</v>
      </c>
      <c r="E7" s="8">
        <f t="shared" si="1"/>
        <v>0.13128109792771617</v>
      </c>
      <c r="F7" s="1"/>
      <c r="G7" s="1"/>
      <c r="H7" s="1"/>
      <c r="I7" s="1"/>
      <c r="J7" s="1"/>
      <c r="K7" s="1"/>
    </row>
    <row r="8" spans="2:11" x14ac:dyDescent="0.3">
      <c r="B8" s="7">
        <v>5</v>
      </c>
      <c r="C8" s="8">
        <f t="shared" si="2"/>
        <v>9.9842935528120726</v>
      </c>
      <c r="D8" s="8">
        <f t="shared" si="0"/>
        <v>0.10015731155243832</v>
      </c>
      <c r="E8" s="8">
        <f t="shared" si="1"/>
        <v>5.7727844144781611E-2</v>
      </c>
      <c r="F8" s="1"/>
      <c r="G8" s="1"/>
      <c r="H8" s="1"/>
      <c r="I8" s="1"/>
      <c r="J8" s="1"/>
      <c r="K8" s="1"/>
    </row>
    <row r="9" spans="2:11" x14ac:dyDescent="0.3">
      <c r="B9" s="7">
        <v>6</v>
      </c>
      <c r="C9" s="8">
        <f t="shared" si="2"/>
        <v>10.20843811918915</v>
      </c>
      <c r="D9" s="8">
        <f t="shared" si="0"/>
        <v>9.7958178158543741E-2</v>
      </c>
      <c r="E9" s="8">
        <f t="shared" si="1"/>
        <v>2.1956793366435225E-2</v>
      </c>
      <c r="F9" s="1"/>
      <c r="G9" s="1"/>
      <c r="H9" s="1"/>
      <c r="I9" s="1"/>
      <c r="J9" s="1"/>
      <c r="K9" s="1"/>
    </row>
    <row r="10" spans="2:11" x14ac:dyDescent="0.3">
      <c r="B10" s="7">
        <v>7</v>
      </c>
      <c r="C10" s="8">
        <f t="shared" si="2"/>
        <v>10.283152974648177</v>
      </c>
      <c r="D10" s="8">
        <f t="shared" si="0"/>
        <v>9.7246438175662128E-2</v>
      </c>
      <c r="E10" s="8">
        <f t="shared" si="1"/>
        <v>7.2657535721996659E-3</v>
      </c>
      <c r="F10" s="1"/>
      <c r="G10" s="1"/>
      <c r="H10" s="1"/>
      <c r="I10" s="1"/>
      <c r="J10" s="1"/>
      <c r="K10" s="1"/>
    </row>
    <row r="11" spans="2:11" x14ac:dyDescent="0.3">
      <c r="B11" s="7">
        <v>8</v>
      </c>
      <c r="C11" s="8">
        <f t="shared" si="2"/>
        <v>10.304944807490392</v>
      </c>
      <c r="D11" s="8">
        <f t="shared" si="0"/>
        <v>9.704079145316008E-2</v>
      </c>
      <c r="E11" s="8">
        <f t="shared" si="1"/>
        <v>2.1146967062235884E-3</v>
      </c>
      <c r="F11" s="1"/>
      <c r="G11" s="1"/>
      <c r="H11" s="1"/>
      <c r="I11" s="1"/>
      <c r="J11" s="1"/>
      <c r="K11" s="1"/>
    </row>
    <row r="12" spans="2:11" x14ac:dyDescent="0.3">
      <c r="B12" s="7">
        <v>9</v>
      </c>
      <c r="C12" s="8">
        <f t="shared" si="2"/>
        <v>10.310594541930966</v>
      </c>
      <c r="D12" s="8">
        <f t="shared" si="0"/>
        <v>9.6987617535847767E-2</v>
      </c>
      <c r="E12" s="8">
        <f t="shared" si="1"/>
        <v>5.4795428310154342E-4</v>
      </c>
      <c r="F12" s="1"/>
      <c r="G12" s="1"/>
      <c r="H12" s="1"/>
      <c r="I12" s="1"/>
      <c r="J12" s="1"/>
      <c r="K12" s="1"/>
    </row>
    <row r="13" spans="2:11" x14ac:dyDescent="0.3">
      <c r="B13" s="7">
        <v>10</v>
      </c>
      <c r="C13" s="8">
        <f t="shared" si="2"/>
        <v>10.311912813300433</v>
      </c>
      <c r="D13" s="8">
        <f t="shared" si="0"/>
        <v>9.6975218672348318E-2</v>
      </c>
      <c r="E13" s="8">
        <f t="shared" si="1"/>
        <v>1.2783965432359488E-4</v>
      </c>
      <c r="F13" s="1"/>
      <c r="G13" s="1"/>
      <c r="H13" s="1"/>
      <c r="I13" s="1"/>
      <c r="J13" s="1"/>
      <c r="K13" s="1"/>
    </row>
    <row r="14" spans="2:1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9" t="s">
        <v>5</v>
      </c>
      <c r="C15" s="9"/>
      <c r="D15" s="9"/>
      <c r="E15" s="9"/>
      <c r="F15" s="1"/>
      <c r="G15" s="1"/>
      <c r="H15" s="1"/>
      <c r="I15" s="1"/>
      <c r="J15" s="1"/>
      <c r="K15" s="1"/>
    </row>
    <row r="16" spans="2:11" x14ac:dyDescent="0.3">
      <c r="B16" s="1"/>
      <c r="C16" s="9" t="s">
        <v>6</v>
      </c>
      <c r="D16" s="9"/>
      <c r="E16" s="9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0" t="s">
        <v>10</v>
      </c>
      <c r="C18" s="10" t="s">
        <v>1</v>
      </c>
      <c r="D18" s="10" t="s">
        <v>2</v>
      </c>
      <c r="E18" s="10" t="s">
        <v>3</v>
      </c>
      <c r="F18" s="1"/>
      <c r="G18" s="1"/>
      <c r="H18" s="1"/>
      <c r="I18" s="1"/>
      <c r="J18" s="1"/>
      <c r="K18" s="1"/>
    </row>
    <row r="19" spans="2:11" x14ac:dyDescent="0.3">
      <c r="B19" s="8">
        <v>0.49230000000000002</v>
      </c>
      <c r="C19" s="8">
        <v>0.50770000000000004</v>
      </c>
      <c r="D19" s="8">
        <v>8.1199999999999992</v>
      </c>
      <c r="E19" s="8">
        <v>1.3540000000000001</v>
      </c>
      <c r="F19" s="1"/>
      <c r="G19" s="1"/>
      <c r="H19" s="1"/>
      <c r="I19" s="1"/>
      <c r="J19" s="1"/>
      <c r="K19" s="1"/>
    </row>
  </sheetData>
  <mergeCells count="2">
    <mergeCell ref="B15:E15"/>
    <mergeCell ref="C16:E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Чубукова</dc:creator>
  <cp:lastModifiedBy>user 0</cp:lastModifiedBy>
  <dcterms:created xsi:type="dcterms:W3CDTF">2015-06-05T18:19:34Z</dcterms:created>
  <dcterms:modified xsi:type="dcterms:W3CDTF">2025-10-22T08:09:51Z</dcterms:modified>
</cp:coreProperties>
</file>