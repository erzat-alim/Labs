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rzat\Desktop\Labs\mm\"/>
    </mc:Choice>
  </mc:AlternateContent>
  <xr:revisionPtr revIDLastSave="0" documentId="13_ncr:1_{245D03E1-4C8D-435E-8059-9DF8C844A81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definedNames>
    <definedName name="solver_adj" localSheetId="0" hidden="1">Лист1!#REF!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Лист1!#REF!</definedName>
    <definedName name="solver_lhs2" localSheetId="0" hidden="1">Лист1!#REF!</definedName>
    <definedName name="solver_lhs3" localSheetId="0" hidden="1">Лист1!#REF!</definedName>
    <definedName name="solver_lhs4" localSheetId="0" hidden="1">Лист1!#REF!</definedName>
    <definedName name="solver_mip" localSheetId="0" hidden="1">2147483647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Лист1!$M$8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hs1" localSheetId="0" hidden="1">0</definedName>
    <definedName name="solver_rhs2" localSheetId="0" hidden="1">0</definedName>
    <definedName name="solver_rhs3" localSheetId="0" hidden="1">Лист1!#REF!</definedName>
    <definedName name="solver_rhs4" localSheetId="0" hidden="1">Лист1!#REF!</definedName>
    <definedName name="solver_rlx" localSheetId="0" hidden="1">2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G10" i="1" s="1"/>
  <c r="C11" i="1"/>
  <c r="C12" i="1"/>
  <c r="C9" i="1"/>
  <c r="G9" i="1" s="1"/>
  <c r="D9" i="1"/>
  <c r="E9" i="1"/>
  <c r="F9" i="1"/>
  <c r="D10" i="1"/>
  <c r="E10" i="1"/>
  <c r="F10" i="1"/>
  <c r="D11" i="1"/>
  <c r="E11" i="1"/>
  <c r="F11" i="1"/>
  <c r="G12" i="1"/>
  <c r="D12" i="1"/>
  <c r="E12" i="1"/>
  <c r="F12" i="1"/>
  <c r="B10" i="1"/>
  <c r="B11" i="1"/>
  <c r="B12" i="1"/>
  <c r="B9" i="1"/>
  <c r="I6" i="1"/>
  <c r="I3" i="1"/>
  <c r="I4" i="1"/>
  <c r="I5" i="1"/>
  <c r="I2" i="1"/>
  <c r="H6" i="1"/>
  <c r="H3" i="1"/>
  <c r="H4" i="1"/>
  <c r="H5" i="1"/>
  <c r="H2" i="1"/>
  <c r="G6" i="1"/>
  <c r="G3" i="1"/>
  <c r="G4" i="1"/>
  <c r="G5" i="1"/>
  <c r="G2" i="1"/>
  <c r="G11" i="1" l="1"/>
  <c r="G13" i="1"/>
</calcChain>
</file>

<file path=xl/sharedStrings.xml><?xml version="1.0" encoding="utf-8"?>
<sst xmlns="http://schemas.openxmlformats.org/spreadsheetml/2006/main" count="35" uniqueCount="26">
  <si>
    <t xml:space="preserve">B1 </t>
  </si>
  <si>
    <t xml:space="preserve">B2 </t>
  </si>
  <si>
    <t xml:space="preserve">B3 </t>
  </si>
  <si>
    <t xml:space="preserve">B4 </t>
  </si>
  <si>
    <t>B5</t>
  </si>
  <si>
    <t xml:space="preserve">A1 </t>
  </si>
  <si>
    <t xml:space="preserve">A2 </t>
  </si>
  <si>
    <t xml:space="preserve">A3 </t>
  </si>
  <si>
    <t>A4</t>
  </si>
  <si>
    <t>Лапласа</t>
  </si>
  <si>
    <t>Гурвица</t>
  </si>
  <si>
    <t>Вальда</t>
  </si>
  <si>
    <t>Сэвиджа</t>
  </si>
  <si>
    <t>1. Играми называют ситуации, в которых несколько участников с различными интересами принимают решения, влияющие на исход друг для друга.</t>
  </si>
  <si>
    <t>2. Функция выигрыша — это правило, определяющее payoff игрока в зависимости от действий всех участников, а цель игрока — максимизировать свой выигрыш.</t>
  </si>
  <si>
    <t>3. Ход — это выбор одного из возможных действий в определённый момент игры.</t>
  </si>
  <si>
    <t>4. Стратегия — это полный план действий игрока на все возможные ситуации, которые могут возникнуть в игре.</t>
  </si>
  <si>
    <t>5. Задача теории игр — математическое моделирование и поиск оптимальных решений в конфликтных ситуациях.</t>
  </si>
  <si>
    <t>6. Игра с нулевой суммой — это игра, в которой выигрыш одного игрока в точности равен проигрышу другого, так что общая сумма выигрышей всех игроков равна нулю.</t>
  </si>
  <si>
    <t>7. Антагонистическими называют игры с двумя игроками, чьи интересы строго противоположны, что является частным случаем игры с нулевой суммой.</t>
  </si>
  <si>
    <t>8. Матричная игра — это антагонистическая игра, в которой стратегии первого игрока соответствуют строкам, а второго — столбцам платёжной матрицы.</t>
  </si>
  <si>
    <t>9. Нижняя цена игры (максимин) — это максимальный гарантированный выигрыш первого игрока, а верхняя цена игры (минимакс) — это минимальный гарантированный проигрыш второго игрока.</t>
  </si>
  <si>
    <t>10. Седловой элемент платёжной матрицы — это элемент, который одновременно является минимумом в своей строке и максимумом в своём столбце, указывая на оптимальные стратегии обоих игроков.</t>
  </si>
  <si>
    <t>11. нижнаяя цена игры = 5</t>
  </si>
  <si>
    <t>верхняя цена игры = 5</t>
  </si>
  <si>
    <t>седловая точка = а(5;4)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</si>
</sst>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F1115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165652</xdr:colOff>
      <xdr:row>24</xdr:row>
      <xdr:rowOff>33132</xdr:rowOff>
    </xdr:from>
    <xdr:to>
      <xdr:col>3</xdr:col>
      <xdr:colOff>13252</xdr:colOff>
      <xdr:row>30</xdr:row>
      <xdr:rowOff>67701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B04262C-BE6D-B5DA-DFB1-843D97499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52" y="4485862"/>
          <a:ext cx="1676400" cy="11477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="115" zoomScaleNormal="115" workbookViewId="0">
      <selection activeCell="E30" sqref="E30"/>
    </sheetView>
  </sheetViews>
  <sheetFormatPr defaultRowHeight="14.4" x14ac:dyDescent="0.3"/>
  <cols>
    <col min="8" max="9" width="9.4414062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  <c r="I1" t="s">
        <v>11</v>
      </c>
    </row>
    <row r="2" spans="1:9" ht="14.4" customHeight="1" x14ac:dyDescent="0.3">
      <c r="A2" t="s">
        <v>5</v>
      </c>
      <c r="B2">
        <v>3</v>
      </c>
      <c r="C2">
        <v>3</v>
      </c>
      <c r="D2">
        <v>6</v>
      </c>
      <c r="E2">
        <v>8</v>
      </c>
      <c r="F2">
        <v>5</v>
      </c>
      <c r="G2">
        <f>AVERAGE(B2:F2)</f>
        <v>5</v>
      </c>
      <c r="H2">
        <f>0.4*MAX(B2:G2)+(1-0.4)*MIN(B2:G2)</f>
        <v>5</v>
      </c>
      <c r="I2">
        <f>MIN(B2:H2)</f>
        <v>3</v>
      </c>
    </row>
    <row r="3" spans="1:9" x14ac:dyDescent="0.3">
      <c r="A3" t="s">
        <v>6</v>
      </c>
      <c r="B3">
        <v>9</v>
      </c>
      <c r="C3">
        <v>10</v>
      </c>
      <c r="D3">
        <v>4</v>
      </c>
      <c r="E3">
        <v>2</v>
      </c>
      <c r="F3">
        <v>3</v>
      </c>
      <c r="G3">
        <f t="shared" ref="G3:G5" si="0">AVERAGE(B3:F3)</f>
        <v>5.6</v>
      </c>
      <c r="H3">
        <f t="shared" ref="H3:H5" si="1">0.4*MAX(B3:G3)+(1-0.4)*MIN(B3:G3)</f>
        <v>5.2</v>
      </c>
      <c r="I3">
        <f t="shared" ref="I3:I5" si="2">MIN(B3:H3)</f>
        <v>2</v>
      </c>
    </row>
    <row r="4" spans="1:9" x14ac:dyDescent="0.3">
      <c r="A4" t="s">
        <v>7</v>
      </c>
      <c r="B4">
        <v>7</v>
      </c>
      <c r="C4">
        <v>7</v>
      </c>
      <c r="D4">
        <v>5</v>
      </c>
      <c r="E4">
        <v>4</v>
      </c>
      <c r="F4">
        <v>5</v>
      </c>
      <c r="G4">
        <f t="shared" si="0"/>
        <v>5.6</v>
      </c>
      <c r="H4">
        <f t="shared" si="1"/>
        <v>5.2</v>
      </c>
      <c r="I4" s="2">
        <f t="shared" si="2"/>
        <v>4</v>
      </c>
    </row>
    <row r="5" spans="1:9" x14ac:dyDescent="0.3">
      <c r="A5" t="s">
        <v>8</v>
      </c>
      <c r="B5">
        <v>10</v>
      </c>
      <c r="C5">
        <v>11</v>
      </c>
      <c r="D5">
        <v>4</v>
      </c>
      <c r="E5">
        <v>7</v>
      </c>
      <c r="F5">
        <v>2</v>
      </c>
      <c r="G5" s="2">
        <f t="shared" si="0"/>
        <v>6.8</v>
      </c>
      <c r="H5" s="2">
        <f t="shared" si="1"/>
        <v>5.6000000000000005</v>
      </c>
      <c r="I5">
        <f t="shared" si="2"/>
        <v>2</v>
      </c>
    </row>
    <row r="6" spans="1:9" x14ac:dyDescent="0.3">
      <c r="G6" s="1">
        <f>MAX(G2:G5)</f>
        <v>6.8</v>
      </c>
      <c r="H6" s="1">
        <f>MAX(H2:H5)</f>
        <v>5.6000000000000005</v>
      </c>
      <c r="I6" s="1">
        <f>MAX(I2:I5)</f>
        <v>4</v>
      </c>
    </row>
    <row r="8" spans="1:9" x14ac:dyDescent="0.3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12</v>
      </c>
    </row>
    <row r="9" spans="1:9" x14ac:dyDescent="0.3">
      <c r="A9" t="s">
        <v>5</v>
      </c>
      <c r="B9">
        <f>MAX(B$2:B$5)-B2</f>
        <v>7</v>
      </c>
      <c r="C9">
        <f t="shared" ref="C9:F9" si="3">MAX(C$2:C$5)-C2</f>
        <v>8</v>
      </c>
      <c r="D9">
        <f t="shared" si="3"/>
        <v>0</v>
      </c>
      <c r="E9">
        <f t="shared" si="3"/>
        <v>0</v>
      </c>
      <c r="F9">
        <f t="shared" si="3"/>
        <v>0</v>
      </c>
      <c r="G9">
        <f>MAX(B9:F9)</f>
        <v>8</v>
      </c>
    </row>
    <row r="10" spans="1:9" x14ac:dyDescent="0.3">
      <c r="A10" t="s">
        <v>6</v>
      </c>
      <c r="B10">
        <f t="shared" ref="B10:F12" si="4">MAX(B$2:B$5)-B3</f>
        <v>1</v>
      </c>
      <c r="C10">
        <f>MAX(C$2:C$5)-C3</f>
        <v>1</v>
      </c>
      <c r="D10">
        <f t="shared" si="4"/>
        <v>2</v>
      </c>
      <c r="E10">
        <f t="shared" si="4"/>
        <v>6</v>
      </c>
      <c r="F10">
        <f t="shared" si="4"/>
        <v>2</v>
      </c>
      <c r="G10">
        <f t="shared" ref="G10:G12" si="5">MAX(B10:F10)</f>
        <v>6</v>
      </c>
    </row>
    <row r="11" spans="1:9" x14ac:dyDescent="0.3">
      <c r="A11" t="s">
        <v>7</v>
      </c>
      <c r="B11">
        <f t="shared" si="4"/>
        <v>3</v>
      </c>
      <c r="C11">
        <f t="shared" ref="C11" si="6">MAX(C$2:C$5)-C4</f>
        <v>4</v>
      </c>
      <c r="D11">
        <f t="shared" si="4"/>
        <v>1</v>
      </c>
      <c r="E11">
        <f t="shared" si="4"/>
        <v>4</v>
      </c>
      <c r="F11">
        <f t="shared" si="4"/>
        <v>0</v>
      </c>
      <c r="G11">
        <f t="shared" si="5"/>
        <v>4</v>
      </c>
    </row>
    <row r="12" spans="1:9" x14ac:dyDescent="0.3">
      <c r="A12" t="s">
        <v>8</v>
      </c>
      <c r="B12">
        <f t="shared" si="4"/>
        <v>0</v>
      </c>
      <c r="C12">
        <f t="shared" ref="C12" si="7">MAX(C$2:C$5)-C5</f>
        <v>0</v>
      </c>
      <c r="D12">
        <f t="shared" si="4"/>
        <v>2</v>
      </c>
      <c r="E12">
        <f t="shared" si="4"/>
        <v>1</v>
      </c>
      <c r="F12">
        <f t="shared" si="4"/>
        <v>3</v>
      </c>
      <c r="G12" s="2">
        <f t="shared" si="5"/>
        <v>3</v>
      </c>
    </row>
    <row r="13" spans="1:9" x14ac:dyDescent="0.3">
      <c r="G13" s="1">
        <f>MIN(G9:G12)</f>
        <v>3</v>
      </c>
    </row>
    <row r="15" spans="1:9" ht="15.6" x14ac:dyDescent="0.3">
      <c r="A15" s="3" t="s">
        <v>13</v>
      </c>
    </row>
    <row r="16" spans="1:9" ht="15.6" x14ac:dyDescent="0.3">
      <c r="A16" s="3" t="s">
        <v>14</v>
      </c>
    </row>
    <row r="17" spans="1:1" ht="15.6" x14ac:dyDescent="0.3">
      <c r="A17" s="3" t="s">
        <v>15</v>
      </c>
    </row>
    <row r="18" spans="1:1" ht="15.6" x14ac:dyDescent="0.3">
      <c r="A18" s="3" t="s">
        <v>16</v>
      </c>
    </row>
    <row r="19" spans="1:1" ht="15.6" x14ac:dyDescent="0.3">
      <c r="A19" s="3" t="s">
        <v>17</v>
      </c>
    </row>
    <row r="20" spans="1:1" ht="15.6" x14ac:dyDescent="0.3">
      <c r="A20" s="3" t="s">
        <v>18</v>
      </c>
    </row>
    <row r="21" spans="1:1" ht="15.6" x14ac:dyDescent="0.3">
      <c r="A21" s="3" t="s">
        <v>19</v>
      </c>
    </row>
    <row r="22" spans="1:1" ht="15.6" x14ac:dyDescent="0.3">
      <c r="A22" s="3" t="s">
        <v>20</v>
      </c>
    </row>
    <row r="23" spans="1:1" ht="15.6" x14ac:dyDescent="0.3">
      <c r="A23" s="3" t="s">
        <v>21</v>
      </c>
    </row>
    <row r="24" spans="1:1" ht="15.6" x14ac:dyDescent="0.3">
      <c r="A24" s="3" t="s">
        <v>22</v>
      </c>
    </row>
    <row r="32" spans="1:1" ht="15.6" x14ac:dyDescent="0.3">
      <c r="A32" s="4" t="s">
        <v>23</v>
      </c>
    </row>
    <row r="33" spans="1:1" ht="15.6" x14ac:dyDescent="0.3">
      <c r="A33" s="5" t="s">
        <v>24</v>
      </c>
    </row>
    <row r="34" spans="1:1" ht="15.6" x14ac:dyDescent="0.3">
      <c r="A34" s="5" t="s">
        <v>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 0</cp:lastModifiedBy>
  <dcterms:created xsi:type="dcterms:W3CDTF">2015-06-05T18:19:34Z</dcterms:created>
  <dcterms:modified xsi:type="dcterms:W3CDTF">2025-10-22T07:05:29Z</dcterms:modified>
</cp:coreProperties>
</file>