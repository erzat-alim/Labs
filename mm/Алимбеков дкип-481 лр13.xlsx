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rzat\Desktop\Labs\mm\"/>
    </mc:Choice>
  </mc:AlternateContent>
  <xr:revisionPtr revIDLastSave="0" documentId="13_ncr:1_{91F5FAAE-2960-4A6B-B261-FCDF102220B4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Среднее" sheetId="1" r:id="rId1"/>
    <sheet name="Акции" sheetId="2" r:id="rId2"/>
    <sheet name="Тренд" sheetId="3" r:id="rId3"/>
    <sheet name="Рост" sheetId="4" r:id="rId4"/>
    <sheet name="Рост2" sheetId="6" r:id="rId5"/>
  </sheets>
  <definedNames>
    <definedName name="solver_adj" localSheetId="0" hidden="1">Среднее!#REF!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Среднее!#REF!</definedName>
    <definedName name="solver_lhs2" localSheetId="0" hidden="1">Среднее!#REF!</definedName>
    <definedName name="solver_lhs3" localSheetId="0" hidden="1">Среднее!#REF!</definedName>
    <definedName name="solver_lhs4" localSheetId="0" hidden="1">Среднее!#REF!</definedName>
    <definedName name="solver_mip" localSheetId="0" hidden="1">2147483647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Среднее!$M$8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hs1" localSheetId="0" hidden="1">0</definedName>
    <definedName name="solver_rhs2" localSheetId="0" hidden="1">0</definedName>
    <definedName name="solver_rhs3" localSheetId="0" hidden="1">Среднее!#REF!</definedName>
    <definedName name="solver_rhs4" localSheetId="0" hidden="1">Среднее!#REF!</definedName>
    <definedName name="solver_rlx" localSheetId="0" hidden="1">2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6" l="1" a="1"/>
  <c r="C2" i="6" s="1"/>
  <c r="C2" i="4" a="1"/>
  <c r="C2" i="4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" i="2"/>
  <c r="C3" i="2" s="1"/>
  <c r="C6" i="1"/>
  <c r="C7" i="1"/>
  <c r="C8" i="1"/>
  <c r="C9" i="1"/>
  <c r="C10" i="1"/>
  <c r="C11" i="1"/>
  <c r="C12" i="1"/>
  <c r="C13" i="1"/>
  <c r="C13" i="6" l="1"/>
  <c r="C14" i="6"/>
  <c r="C10" i="6"/>
  <c r="C9" i="6"/>
  <c r="C8" i="6"/>
  <c r="C12" i="6"/>
  <c r="C7" i="6"/>
  <c r="C11" i="6"/>
  <c r="C18" i="6"/>
  <c r="C6" i="6"/>
  <c r="C17" i="6"/>
  <c r="C5" i="6"/>
  <c r="C16" i="6"/>
  <c r="C4" i="6"/>
  <c r="C15" i="6"/>
  <c r="C3" i="6"/>
  <c r="C11" i="4"/>
  <c r="C10" i="4"/>
  <c r="C9" i="4"/>
  <c r="C12" i="4"/>
  <c r="C8" i="4"/>
  <c r="C5" i="4"/>
  <c r="C14" i="4"/>
  <c r="C7" i="4"/>
  <c r="C3" i="4"/>
  <c r="C13" i="4"/>
  <c r="C6" i="4"/>
  <c r="C4" i="4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B6" i="1" l="1"/>
  <c r="B7" i="1"/>
  <c r="B8" i="1"/>
  <c r="B9" i="1"/>
  <c r="B10" i="1"/>
  <c r="B11" i="1"/>
  <c r="B5" i="1"/>
</calcChain>
</file>

<file path=xl/sharedStrings.xml><?xml version="1.0" encoding="utf-8"?>
<sst xmlns="http://schemas.openxmlformats.org/spreadsheetml/2006/main" count="15" uniqueCount="9">
  <si>
    <t>Число жалоб</t>
  </si>
  <si>
    <t>#Н/Д</t>
  </si>
  <si>
    <t>Дата</t>
  </si>
  <si>
    <t>Курс акций</t>
  </si>
  <si>
    <t>Неделя</t>
  </si>
  <si>
    <t>Факт</t>
  </si>
  <si>
    <t>Прогноз</t>
  </si>
  <si>
    <t>Продано акций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</si>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</sst>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Скользящее среднее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Фактический</c:v>
          </c:tx>
          <c:val>
            <c:numRef>
              <c:f>Среднее!$A$2:$A$11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10</c:v>
                </c:pt>
                <c:pt idx="8">
                  <c:v>16</c:v>
                </c:pt>
                <c:pt idx="9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26-45C1-8E71-39122EAA1759}"/>
            </c:ext>
          </c:extLst>
        </c:ser>
        <c:ser>
          <c:idx val="1"/>
          <c:order val="1"/>
          <c:tx>
            <c:v>Прогноз</c:v>
          </c:tx>
          <c:val>
            <c:numRef>
              <c:f>Среднее!$C$4:$C$13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10.333333333333334</c:v>
                </c:pt>
                <c:pt idx="3">
                  <c:v>11</c:v>
                </c:pt>
                <c:pt idx="4">
                  <c:v>11.666666666666666</c:v>
                </c:pt>
                <c:pt idx="5">
                  <c:v>12.666666666666666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14.333333333333334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26-45C1-8E71-39122EAA1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0384"/>
        <c:axId val="7890944"/>
      </c:lineChart>
      <c:catAx>
        <c:axId val="7880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Точка данных</a:t>
                </a:r>
              </a:p>
            </c:rich>
          </c:tx>
          <c:overlay val="0"/>
        </c:title>
        <c:majorTickMark val="out"/>
        <c:minorTickMark val="none"/>
        <c:tickLblPos val="nextTo"/>
        <c:crossAx val="7890944"/>
        <c:crosses val="autoZero"/>
        <c:auto val="1"/>
        <c:lblAlgn val="ctr"/>
        <c:lblOffset val="100"/>
        <c:noMultiLvlLbl val="0"/>
      </c:catAx>
      <c:valAx>
        <c:axId val="7890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Значение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803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Экспоненциальное сглаживание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600995188101487"/>
          <c:y val="0.40638468462335581"/>
          <c:w val="0.59449187531333869"/>
          <c:h val="0.35572170913794277"/>
        </c:manualLayout>
      </c:layout>
      <c:lineChart>
        <c:grouping val="standard"/>
        <c:varyColors val="0"/>
        <c:ser>
          <c:idx val="0"/>
          <c:order val="0"/>
          <c:tx>
            <c:v>Фактический</c:v>
          </c:tx>
          <c:val>
            <c:numRef>
              <c:f>Акции!$B$2:$B$21</c:f>
              <c:numCache>
                <c:formatCode>General</c:formatCode>
                <c:ptCount val="20"/>
                <c:pt idx="0">
                  <c:v>0.18927221609733325</c:v>
                </c:pt>
                <c:pt idx="1">
                  <c:v>0.66982099716082444</c:v>
                </c:pt>
                <c:pt idx="2">
                  <c:v>0.15267126953346566</c:v>
                </c:pt>
                <c:pt idx="3">
                  <c:v>0.80901198624727166</c:v>
                </c:pt>
                <c:pt idx="4">
                  <c:v>0.25975206186332345</c:v>
                </c:pt>
                <c:pt idx="5">
                  <c:v>0.86912732137342341</c:v>
                </c:pt>
                <c:pt idx="6">
                  <c:v>0.6504748265438477</c:v>
                </c:pt>
                <c:pt idx="7">
                  <c:v>0.53419382491659428</c:v>
                </c:pt>
                <c:pt idx="8">
                  <c:v>0.21477357081031734</c:v>
                </c:pt>
                <c:pt idx="9">
                  <c:v>0.27522938091975602</c:v>
                </c:pt>
                <c:pt idx="10">
                  <c:v>0.35244712744511975</c:v>
                </c:pt>
                <c:pt idx="11">
                  <c:v>0.60125720019523221</c:v>
                </c:pt>
                <c:pt idx="12">
                  <c:v>0.54649252251357106</c:v>
                </c:pt>
                <c:pt idx="13">
                  <c:v>0.70070487077764076</c:v>
                </c:pt>
                <c:pt idx="14">
                  <c:v>0.39432843376035442</c:v>
                </c:pt>
                <c:pt idx="15">
                  <c:v>0.10976140787962674</c:v>
                </c:pt>
                <c:pt idx="16">
                  <c:v>5.1839914071978743E-2</c:v>
                </c:pt>
                <c:pt idx="17">
                  <c:v>0.40864952094846363</c:v>
                </c:pt>
                <c:pt idx="18">
                  <c:v>0.36589409371964909</c:v>
                </c:pt>
                <c:pt idx="19">
                  <c:v>0.84995995724604168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5-4035-AD49-776A1A703498}"/>
            </c:ext>
          </c:extLst>
        </c:ser>
        <c:ser>
          <c:idx val="1"/>
          <c:order val="1"/>
          <c:tx>
            <c:v>Прогноз</c:v>
          </c:tx>
          <c:val>
            <c:numRef>
              <c:f>Акции!$C$2:$C$21</c:f>
              <c:numCache>
                <c:formatCode>General</c:formatCode>
                <c:ptCount val="20"/>
                <c:pt idx="0">
                  <c:v>0</c:v>
                </c:pt>
                <c:pt idx="1">
                  <c:v>0.18927221609733325</c:v>
                </c:pt>
                <c:pt idx="2">
                  <c:v>0.3334368504163806</c:v>
                </c:pt>
                <c:pt idx="3">
                  <c:v>0.27920717615150609</c:v>
                </c:pt>
                <c:pt idx="4">
                  <c:v>0.43814861918023573</c:v>
                </c:pt>
                <c:pt idx="5">
                  <c:v>0.38462965198516202</c:v>
                </c:pt>
                <c:pt idx="6">
                  <c:v>0.52997895280164042</c:v>
                </c:pt>
                <c:pt idx="7">
                  <c:v>0.56612771492430258</c:v>
                </c:pt>
                <c:pt idx="8">
                  <c:v>0.55654754792199002</c:v>
                </c:pt>
                <c:pt idx="9">
                  <c:v>0.4540153547884882</c:v>
                </c:pt>
                <c:pt idx="10">
                  <c:v>0.40037956262786856</c:v>
                </c:pt>
                <c:pt idx="11">
                  <c:v>0.38599983207304389</c:v>
                </c:pt>
                <c:pt idx="12">
                  <c:v>0.45057704250970032</c:v>
                </c:pt>
                <c:pt idx="13">
                  <c:v>0.47935168651086152</c:v>
                </c:pt>
                <c:pt idx="14">
                  <c:v>0.54575764179089525</c:v>
                </c:pt>
                <c:pt idx="15">
                  <c:v>0.50032887938173298</c:v>
                </c:pt>
                <c:pt idx="16">
                  <c:v>0.38315863793110111</c:v>
                </c:pt>
                <c:pt idx="17">
                  <c:v>0.28376302077336435</c:v>
                </c:pt>
                <c:pt idx="18">
                  <c:v>0.32122897082589413</c:v>
                </c:pt>
                <c:pt idx="19">
                  <c:v>0.33462850769402058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55-4035-AD49-776A1A703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388880"/>
        <c:axId val="363386000"/>
      </c:lineChart>
      <c:catAx>
        <c:axId val="36338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Точка данных</a:t>
                </a:r>
              </a:p>
            </c:rich>
          </c:tx>
          <c:overlay val="0"/>
        </c:title>
        <c:majorTickMark val="out"/>
        <c:minorTickMark val="none"/>
        <c:tickLblPos val="nextTo"/>
        <c:crossAx val="363386000"/>
        <c:crosses val="autoZero"/>
        <c:auto val="1"/>
        <c:lblAlgn val="ctr"/>
        <c:lblOffset val="100"/>
        <c:noMultiLvlLbl val="0"/>
      </c:catAx>
      <c:valAx>
        <c:axId val="363386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Значение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33888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278077599850576"/>
          <c:y val="0.31622513676754266"/>
          <c:w val="0.26537153361447796"/>
          <c:h val="0.18155535527938527"/>
        </c:manualLayout>
      </c:layout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848878710251173"/>
          <c:y val="0.17171296296296296"/>
          <c:w val="0.86352020839973709"/>
          <c:h val="0.559715296004666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Тренд!$B$1</c:f>
              <c:strCache>
                <c:ptCount val="1"/>
                <c:pt idx="0">
                  <c:v>Курс акций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4"/>
            <c:dispRSqr val="1"/>
            <c:dispEq val="1"/>
            <c:trendlineLbl>
              <c:layout>
                <c:manualLayout>
                  <c:x val="4.6196193241961697E-2"/>
                  <c:y val="-0.3037532808398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Тренд!$A$2:$A$23</c:f>
              <c:numCache>
                <c:formatCode>d\-mmm</c:formatCode>
                <c:ptCount val="22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</c:numCache>
            </c:numRef>
          </c:cat>
          <c:val>
            <c:numRef>
              <c:f>Тренд!$B$2:$B$23</c:f>
              <c:numCache>
                <c:formatCode>General</c:formatCode>
                <c:ptCount val="22"/>
                <c:pt idx="0">
                  <c:v>8.8114550382624279E-2</c:v>
                </c:pt>
                <c:pt idx="1">
                  <c:v>0.9502711191673654</c:v>
                </c:pt>
                <c:pt idx="2">
                  <c:v>0.48004572098472231</c:v>
                </c:pt>
                <c:pt idx="3">
                  <c:v>0.81056004546681371</c:v>
                </c:pt>
                <c:pt idx="4">
                  <c:v>0.77275074837059865</c:v>
                </c:pt>
                <c:pt idx="5">
                  <c:v>0.89391959644881569</c:v>
                </c:pt>
                <c:pt idx="6">
                  <c:v>0.73581515128030484</c:v>
                </c:pt>
                <c:pt idx="7">
                  <c:v>0.40237909323410559</c:v>
                </c:pt>
                <c:pt idx="8">
                  <c:v>0.74896541494933755</c:v>
                </c:pt>
                <c:pt idx="9">
                  <c:v>0.69003538957807475</c:v>
                </c:pt>
                <c:pt idx="10">
                  <c:v>0.46780117210950867</c:v>
                </c:pt>
                <c:pt idx="11">
                  <c:v>0.25318928251394668</c:v>
                </c:pt>
                <c:pt idx="12">
                  <c:v>0.3011059074670559</c:v>
                </c:pt>
                <c:pt idx="13">
                  <c:v>0.21105899350150403</c:v>
                </c:pt>
                <c:pt idx="14">
                  <c:v>0.76146137719339113</c:v>
                </c:pt>
                <c:pt idx="15">
                  <c:v>0.91446423125299547</c:v>
                </c:pt>
                <c:pt idx="16">
                  <c:v>0.48935205539089932</c:v>
                </c:pt>
                <c:pt idx="17">
                  <c:v>0.17039982914909946</c:v>
                </c:pt>
                <c:pt idx="18">
                  <c:v>0.9490573889926871</c:v>
                </c:pt>
                <c:pt idx="19">
                  <c:v>0.55886618260038301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A-42B2-AE42-2FDCE6CFC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791184"/>
        <c:axId val="368789744"/>
      </c:barChart>
      <c:dateAx>
        <c:axId val="36879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8789744"/>
        <c:crosses val="autoZero"/>
        <c:auto val="1"/>
        <c:lblOffset val="100"/>
        <c:baseTimeUnit val="days"/>
      </c:dateAx>
      <c:valAx>
        <c:axId val="36878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Курс акций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879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635870516185475"/>
          <c:y val="0.17171296296296298"/>
          <c:w val="0.689919072615923"/>
          <c:h val="0.65975320793234182"/>
        </c:manualLayout>
      </c:layout>
      <c:lineChart>
        <c:grouping val="standard"/>
        <c:varyColors val="0"/>
        <c:ser>
          <c:idx val="1"/>
          <c:order val="0"/>
          <c:tx>
            <c:strRef>
              <c:f>Рост!$B$1</c:f>
              <c:strCache>
                <c:ptCount val="1"/>
                <c:pt idx="0">
                  <c:v>Факт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Рост!$B$2:$B$14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19</c:v>
                </c:pt>
                <c:pt idx="6">
                  <c:v>34</c:v>
                </c:pt>
                <c:pt idx="7">
                  <c:v>55</c:v>
                </c:pt>
                <c:pt idx="8">
                  <c:v>84</c:v>
                </c:pt>
                <c:pt idx="9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E-4254-80A6-82F5A009916B}"/>
            </c:ext>
          </c:extLst>
        </c:ser>
        <c:ser>
          <c:idx val="2"/>
          <c:order val="1"/>
          <c:tx>
            <c:strRef>
              <c:f>Рост!$C$1</c:f>
              <c:strCache>
                <c:ptCount val="1"/>
                <c:pt idx="0">
                  <c:v>Прогноз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Рост!$C$2:$C$14</c:f>
              <c:numCache>
                <c:formatCode>General</c:formatCode>
                <c:ptCount val="13"/>
                <c:pt idx="0">
                  <c:v>0.94811680638338214</c:v>
                </c:pt>
                <c:pt idx="1">
                  <c:v>1.6719673204563166</c:v>
                </c:pt>
                <c:pt idx="2">
                  <c:v>2.9484497077288299</c:v>
                </c:pt>
                <c:pt idx="3">
                  <c:v>5.1994770308271434</c:v>
                </c:pt>
                <c:pt idx="4">
                  <c:v>9.1690766585683363</c:v>
                </c:pt>
                <c:pt idx="5">
                  <c:v>16.169312081243742</c:v>
                </c:pt>
                <c:pt idx="6">
                  <c:v>28.513956521056866</c:v>
                </c:pt>
                <c:pt idx="7">
                  <c:v>50.283259572177293</c:v>
                </c:pt>
                <c:pt idx="8">
                  <c:v>88.672583593784779</c:v>
                </c:pt>
                <c:pt idx="9">
                  <c:v>156.37067183185164</c:v>
                </c:pt>
                <c:pt idx="10">
                  <c:v>275.75363227443518</c:v>
                </c:pt>
                <c:pt idx="11">
                  <c:v>486.28086598177231</c:v>
                </c:pt>
                <c:pt idx="12">
                  <c:v>857.53750066524663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2E-4254-80A6-82F5A0099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354688"/>
        <c:axId val="478355168"/>
      </c:lineChart>
      <c:catAx>
        <c:axId val="47835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Неделя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8355168"/>
        <c:crosses val="autoZero"/>
        <c:auto val="1"/>
        <c:lblAlgn val="ctr"/>
        <c:lblOffset val="100"/>
        <c:noMultiLvlLbl val="0"/>
      </c:catAx>
      <c:valAx>
        <c:axId val="4783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Продажи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835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27777777777778"/>
          <c:y val="0.48226778944298621"/>
          <c:w val="0.16814207650273225"/>
          <c:h val="0.1556027488265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Рост2!$B$1</c:f>
              <c:strCache>
                <c:ptCount val="1"/>
                <c:pt idx="0">
                  <c:v>Продано акций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Рост2!$B$2:$B$18</c:f>
              <c:numCache>
                <c:formatCode>General</c:formatCode>
                <c:ptCount val="17"/>
                <c:pt idx="0">
                  <c:v>22</c:v>
                </c:pt>
                <c:pt idx="1">
                  <c:v>24</c:v>
                </c:pt>
                <c:pt idx="2">
                  <c:v>28</c:v>
                </c:pt>
                <c:pt idx="3">
                  <c:v>30</c:v>
                </c:pt>
                <c:pt idx="4">
                  <c:v>34</c:v>
                </c:pt>
                <c:pt idx="5">
                  <c:v>37</c:v>
                </c:pt>
                <c:pt idx="6">
                  <c:v>38</c:v>
                </c:pt>
                <c:pt idx="7">
                  <c:v>48</c:v>
                </c:pt>
                <c:pt idx="8">
                  <c:v>57</c:v>
                </c:pt>
                <c:pt idx="9">
                  <c:v>71</c:v>
                </c:pt>
                <c:pt idx="10">
                  <c:v>94</c:v>
                </c:pt>
                <c:pt idx="11">
                  <c:v>115</c:v>
                </c:pt>
                <c:pt idx="12">
                  <c:v>143</c:v>
                </c:pt>
                <c:pt idx="13">
                  <c:v>168</c:v>
                </c:pt>
                <c:pt idx="14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0-4FEA-95E6-B080F2E96E2A}"/>
            </c:ext>
          </c:extLst>
        </c:ser>
        <c:ser>
          <c:idx val="1"/>
          <c:order val="1"/>
          <c:tx>
            <c:strRef>
              <c:f>Рост2!$C$1</c:f>
              <c:strCache>
                <c:ptCount val="1"/>
                <c:pt idx="0">
                  <c:v>Прогноз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Рост2!$C$2:$C$18</c:f>
              <c:numCache>
                <c:formatCode>General</c:formatCode>
                <c:ptCount val="17"/>
                <c:pt idx="0">
                  <c:v>18.342633194713667</c:v>
                </c:pt>
                <c:pt idx="1">
                  <c:v>21.558907583143498</c:v>
                </c:pt>
                <c:pt idx="2">
                  <c:v>25.339137039085163</c:v>
                </c:pt>
                <c:pt idx="3">
                  <c:v>29.782207814071324</c:v>
                </c:pt>
                <c:pt idx="4">
                  <c:v>35.004345290543249</c:v>
                </c:pt>
                <c:pt idx="5">
                  <c:v>41.142154297931292</c:v>
                </c:pt>
                <c:pt idx="6">
                  <c:v>48.356192530533605</c:v>
                </c:pt>
                <c:pt idx="7">
                  <c:v>56.835170543502855</c:v>
                </c:pt>
                <c:pt idx="8">
                  <c:v>66.800888193779571</c:v>
                </c:pt>
                <c:pt idx="9">
                  <c:v>78.514036657323899</c:v>
                </c:pt>
                <c:pt idx="10">
                  <c:v>92.281017796431485</c:v>
                </c:pt>
                <c:pt idx="11">
                  <c:v>108.4619592635725</c:v>
                </c:pt>
                <c:pt idx="12">
                  <c:v>127.48013500722114</c:v>
                </c:pt>
                <c:pt idx="13">
                  <c:v>149.83303760876623</c:v>
                </c:pt>
                <c:pt idx="14">
                  <c:v>176.10539208950686</c:v>
                </c:pt>
                <c:pt idx="15">
                  <c:v>206.98445161325674</c:v>
                </c:pt>
                <c:pt idx="16">
                  <c:v>243.2779752017222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20-4FEA-95E6-B080F2E96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349408"/>
        <c:axId val="478352288"/>
      </c:lineChart>
      <c:catAx>
        <c:axId val="47834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Неделя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8352288"/>
        <c:crosses val="autoZero"/>
        <c:auto val="1"/>
        <c:lblAlgn val="ctr"/>
        <c:lblOffset val="100"/>
        <c:noMultiLvlLbl val="0"/>
      </c:catAx>
      <c:valAx>
        <c:axId val="47835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Продажи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834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4</xdr:row>
      <xdr:rowOff>22860</xdr:rowOff>
    </xdr:from>
    <xdr:to>
      <xdr:col>10</xdr:col>
      <xdr:colOff>297180</xdr:colOff>
      <xdr:row>14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218B975-E537-8014-EBD3-D6B13E972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2</xdr:row>
      <xdr:rowOff>106680</xdr:rowOff>
    </xdr:from>
    <xdr:to>
      <xdr:col>10</xdr:col>
      <xdr:colOff>251460</xdr:colOff>
      <xdr:row>16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6D5E7EB-3950-3684-C52B-E3ED7F5A6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3</xdr:row>
      <xdr:rowOff>19050</xdr:rowOff>
    </xdr:from>
    <xdr:to>
      <xdr:col>10</xdr:col>
      <xdr:colOff>472440</xdr:colOff>
      <xdr:row>18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144DC11-AF5B-BE72-1A8E-117E7C8AA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1</xdr:row>
      <xdr:rowOff>19050</xdr:rowOff>
    </xdr:from>
    <xdr:to>
      <xdr:col>10</xdr:col>
      <xdr:colOff>594360</xdr:colOff>
      <xdr:row>16</xdr:row>
      <xdr:rowOff>30480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F440DE9-4A7E-5017-B90F-83A929602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1</xdr:row>
      <xdr:rowOff>11430</xdr:rowOff>
    </xdr:from>
    <xdr:to>
      <xdr:col>11</xdr:col>
      <xdr:colOff>563880</xdr:colOff>
      <xdr:row>17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E2F74CC-F226-0F6D-7F79-4127FBCE5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="115" zoomScaleNormal="115" workbookViewId="0">
      <selection activeCell="G16" sqref="G16"/>
    </sheetView>
  </sheetViews>
  <sheetFormatPr defaultRowHeight="14.4" x14ac:dyDescent="0.3"/>
  <cols>
    <col min="1" max="1" width="12.21875" bestFit="1" customWidth="1"/>
    <col min="8" max="9" width="9.44140625" bestFit="1" customWidth="1"/>
  </cols>
  <sheetData>
    <row r="1" spans="1:3" x14ac:dyDescent="0.3">
      <c r="A1" t="s">
        <v>0</v>
      </c>
    </row>
    <row r="2" spans="1:3" ht="14.4" customHeight="1" x14ac:dyDescent="0.3">
      <c r="A2">
        <v>10</v>
      </c>
    </row>
    <row r="3" spans="1:3" x14ac:dyDescent="0.3">
      <c r="A3">
        <v>11</v>
      </c>
    </row>
    <row r="4" spans="1:3" x14ac:dyDescent="0.3">
      <c r="A4">
        <v>10</v>
      </c>
      <c r="C4" t="s">
        <v>1</v>
      </c>
    </row>
    <row r="5" spans="1:3" x14ac:dyDescent="0.3">
      <c r="A5">
        <v>12</v>
      </c>
      <c r="B5">
        <f>AVERAGE(A2:A4)</f>
        <v>10.333333333333334</v>
      </c>
      <c r="C5" t="s">
        <v>1</v>
      </c>
    </row>
    <row r="6" spans="1:3" x14ac:dyDescent="0.3">
      <c r="A6">
        <v>13</v>
      </c>
      <c r="B6">
        <f t="shared" ref="B6:B11" si="0">AVERAGE(A3:A5)</f>
        <v>11</v>
      </c>
      <c r="C6">
        <f t="shared" ref="C6:C13" si="1">AVERAGE(A2:A4)</f>
        <v>10.333333333333334</v>
      </c>
    </row>
    <row r="7" spans="1:3" x14ac:dyDescent="0.3">
      <c r="A7">
        <v>13</v>
      </c>
      <c r="B7">
        <f t="shared" si="0"/>
        <v>11.666666666666666</v>
      </c>
      <c r="C7">
        <f t="shared" si="1"/>
        <v>11</v>
      </c>
    </row>
    <row r="8" spans="1:3" x14ac:dyDescent="0.3">
      <c r="A8">
        <v>13</v>
      </c>
      <c r="B8">
        <f t="shared" si="0"/>
        <v>12.666666666666666</v>
      </c>
      <c r="C8">
        <f t="shared" si="1"/>
        <v>11.666666666666666</v>
      </c>
    </row>
    <row r="9" spans="1:3" x14ac:dyDescent="0.3">
      <c r="A9">
        <v>10</v>
      </c>
      <c r="B9">
        <f t="shared" si="0"/>
        <v>13</v>
      </c>
      <c r="C9">
        <f t="shared" si="1"/>
        <v>12.666666666666666</v>
      </c>
    </row>
    <row r="10" spans="1:3" x14ac:dyDescent="0.3">
      <c r="A10">
        <v>16</v>
      </c>
      <c r="B10">
        <f t="shared" si="0"/>
        <v>12</v>
      </c>
      <c r="C10">
        <f t="shared" si="1"/>
        <v>13</v>
      </c>
    </row>
    <row r="11" spans="1:3" x14ac:dyDescent="0.3">
      <c r="A11">
        <v>17</v>
      </c>
      <c r="B11">
        <f t="shared" si="0"/>
        <v>13</v>
      </c>
      <c r="C11">
        <f t="shared" si="1"/>
        <v>12</v>
      </c>
    </row>
    <row r="12" spans="1:3" x14ac:dyDescent="0.3">
      <c r="C12">
        <f t="shared" si="1"/>
        <v>13</v>
      </c>
    </row>
    <row r="13" spans="1:3" x14ac:dyDescent="0.3">
      <c r="C13">
        <f t="shared" si="1"/>
        <v>14.333333333333334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1682-132F-4733-ABD0-217D81332F9B}">
  <dimension ref="A1:C21"/>
  <sheetViews>
    <sheetView workbookViewId="0">
      <selection activeCell="B2" sqref="B2:B21"/>
    </sheetView>
  </sheetViews>
  <sheetFormatPr defaultRowHeight="14.4" x14ac:dyDescent="0.3"/>
  <cols>
    <col min="2" max="2" width="10.5546875" bestFit="1" customWidth="1"/>
  </cols>
  <sheetData>
    <row r="1" spans="1:3" x14ac:dyDescent="0.3">
      <c r="A1" t="s">
        <v>2</v>
      </c>
      <c r="B1" t="s">
        <v>3</v>
      </c>
    </row>
    <row r="2" spans="1:3" x14ac:dyDescent="0.3">
      <c r="A2" s="1">
        <v>45931</v>
      </c>
      <c r="B2">
        <f ca="1">RAND()</f>
        <v>0.18927221609733325</v>
      </c>
      <c r="C2" t="s">
        <v>1</v>
      </c>
    </row>
    <row r="3" spans="1:3" x14ac:dyDescent="0.3">
      <c r="A3" s="1">
        <v>45932</v>
      </c>
      <c r="B3">
        <f t="shared" ref="B3:B21" ca="1" si="0">RAND()</f>
        <v>0.66982099716082444</v>
      </c>
      <c r="C3">
        <f ca="1">B2</f>
        <v>0.18927221609733325</v>
      </c>
    </row>
    <row r="4" spans="1:3" x14ac:dyDescent="0.3">
      <c r="A4" s="1">
        <v>45933</v>
      </c>
      <c r="B4">
        <f t="shared" ca="1" si="0"/>
        <v>0.15267126953346566</v>
      </c>
      <c r="C4">
        <f t="shared" ref="C4:C21" ca="1" si="1">0.3*B3+0.7*C3</f>
        <v>0.3334368504163806</v>
      </c>
    </row>
    <row r="5" spans="1:3" x14ac:dyDescent="0.3">
      <c r="A5" s="1">
        <v>45934</v>
      </c>
      <c r="B5">
        <f t="shared" ca="1" si="0"/>
        <v>0.80901198624727166</v>
      </c>
      <c r="C5">
        <f t="shared" ca="1" si="1"/>
        <v>0.27920717615150609</v>
      </c>
    </row>
    <row r="6" spans="1:3" x14ac:dyDescent="0.3">
      <c r="A6" s="1">
        <v>45935</v>
      </c>
      <c r="B6">
        <f t="shared" ca="1" si="0"/>
        <v>0.25975206186332345</v>
      </c>
      <c r="C6">
        <f t="shared" ca="1" si="1"/>
        <v>0.43814861918023573</v>
      </c>
    </row>
    <row r="7" spans="1:3" x14ac:dyDescent="0.3">
      <c r="A7" s="1">
        <v>45936</v>
      </c>
      <c r="B7">
        <f t="shared" ca="1" si="0"/>
        <v>0.86912732137342341</v>
      </c>
      <c r="C7">
        <f t="shared" ca="1" si="1"/>
        <v>0.38462965198516202</v>
      </c>
    </row>
    <row r="8" spans="1:3" x14ac:dyDescent="0.3">
      <c r="A8" s="1">
        <v>45937</v>
      </c>
      <c r="B8">
        <f t="shared" ca="1" si="0"/>
        <v>0.6504748265438477</v>
      </c>
      <c r="C8">
        <f t="shared" ca="1" si="1"/>
        <v>0.52997895280164042</v>
      </c>
    </row>
    <row r="9" spans="1:3" x14ac:dyDescent="0.3">
      <c r="A9" s="1">
        <v>45938</v>
      </c>
      <c r="B9">
        <f t="shared" ca="1" si="0"/>
        <v>0.53419382491659428</v>
      </c>
      <c r="C9">
        <f t="shared" ca="1" si="1"/>
        <v>0.56612771492430258</v>
      </c>
    </row>
    <row r="10" spans="1:3" x14ac:dyDescent="0.3">
      <c r="A10" s="1">
        <v>45939</v>
      </c>
      <c r="B10">
        <f t="shared" ca="1" si="0"/>
        <v>0.21477357081031734</v>
      </c>
      <c r="C10">
        <f t="shared" ca="1" si="1"/>
        <v>0.55654754792199002</v>
      </c>
    </row>
    <row r="11" spans="1:3" x14ac:dyDescent="0.3">
      <c r="A11" s="1">
        <v>45940</v>
      </c>
      <c r="B11">
        <f t="shared" ca="1" si="0"/>
        <v>0.27522938091975602</v>
      </c>
      <c r="C11">
        <f t="shared" ca="1" si="1"/>
        <v>0.4540153547884882</v>
      </c>
    </row>
    <row r="12" spans="1:3" x14ac:dyDescent="0.3">
      <c r="A12" s="1">
        <v>45941</v>
      </c>
      <c r="B12">
        <f t="shared" ca="1" si="0"/>
        <v>0.35244712744511975</v>
      </c>
      <c r="C12">
        <f t="shared" ca="1" si="1"/>
        <v>0.40037956262786856</v>
      </c>
    </row>
    <row r="13" spans="1:3" x14ac:dyDescent="0.3">
      <c r="A13" s="1">
        <v>45942</v>
      </c>
      <c r="B13">
        <f t="shared" ca="1" si="0"/>
        <v>0.60125720019523221</v>
      </c>
      <c r="C13">
        <f t="shared" ca="1" si="1"/>
        <v>0.38599983207304389</v>
      </c>
    </row>
    <row r="14" spans="1:3" x14ac:dyDescent="0.3">
      <c r="A14" s="1">
        <v>45943</v>
      </c>
      <c r="B14">
        <f t="shared" ca="1" si="0"/>
        <v>0.54649252251357106</v>
      </c>
      <c r="C14">
        <f t="shared" ca="1" si="1"/>
        <v>0.45057704250970032</v>
      </c>
    </row>
    <row r="15" spans="1:3" x14ac:dyDescent="0.3">
      <c r="A15" s="1">
        <v>45944</v>
      </c>
      <c r="B15">
        <f t="shared" ca="1" si="0"/>
        <v>0.70070487077764076</v>
      </c>
      <c r="C15">
        <f t="shared" ca="1" si="1"/>
        <v>0.47935168651086152</v>
      </c>
    </row>
    <row r="16" spans="1:3" x14ac:dyDescent="0.3">
      <c r="A16" s="1">
        <v>45945</v>
      </c>
      <c r="B16">
        <f t="shared" ca="1" si="0"/>
        <v>0.39432843376035442</v>
      </c>
      <c r="C16">
        <f t="shared" ca="1" si="1"/>
        <v>0.54575764179089525</v>
      </c>
    </row>
    <row r="17" spans="1:3" x14ac:dyDescent="0.3">
      <c r="A17" s="1">
        <v>45946</v>
      </c>
      <c r="B17">
        <f t="shared" ca="1" si="0"/>
        <v>0.10976140787962674</v>
      </c>
      <c r="C17">
        <f t="shared" ca="1" si="1"/>
        <v>0.50032887938173298</v>
      </c>
    </row>
    <row r="18" spans="1:3" x14ac:dyDescent="0.3">
      <c r="A18" s="1">
        <v>45947</v>
      </c>
      <c r="B18">
        <f t="shared" ca="1" si="0"/>
        <v>5.1839914071978743E-2</v>
      </c>
      <c r="C18">
        <f t="shared" ca="1" si="1"/>
        <v>0.38315863793110111</v>
      </c>
    </row>
    <row r="19" spans="1:3" x14ac:dyDescent="0.3">
      <c r="A19" s="1">
        <v>45948</v>
      </c>
      <c r="B19">
        <f t="shared" ca="1" si="0"/>
        <v>0.40864952094846363</v>
      </c>
      <c r="C19">
        <f t="shared" ca="1" si="1"/>
        <v>0.28376302077336435</v>
      </c>
    </row>
    <row r="20" spans="1:3" x14ac:dyDescent="0.3">
      <c r="A20" s="1">
        <v>45949</v>
      </c>
      <c r="B20">
        <f t="shared" ca="1" si="0"/>
        <v>0.36589409371964909</v>
      </c>
      <c r="C20">
        <f t="shared" ca="1" si="1"/>
        <v>0.32122897082589413</v>
      </c>
    </row>
    <row r="21" spans="1:3" x14ac:dyDescent="0.3">
      <c r="A21" s="1">
        <v>45950</v>
      </c>
      <c r="B21">
        <f t="shared" ca="1" si="0"/>
        <v>0.84995995724604168</v>
      </c>
      <c r="C21">
        <f t="shared" ca="1" si="1"/>
        <v>0.33462850769402058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3DC5-B07B-411B-9DCD-70F40C17A4C6}">
  <dimension ref="A1:B23"/>
  <sheetViews>
    <sheetView workbookViewId="0">
      <selection activeCell="O14" sqref="O14"/>
    </sheetView>
  </sheetViews>
  <sheetFormatPr defaultRowHeight="14.4" x14ac:dyDescent="0.3"/>
  <cols>
    <col min="2" max="2" width="12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s="1">
        <v>45931</v>
      </c>
      <c r="B2">
        <v>8.8114550382624279E-2</v>
      </c>
    </row>
    <row r="3" spans="1:2" x14ac:dyDescent="0.3">
      <c r="A3" s="1">
        <v>45932</v>
      </c>
      <c r="B3">
        <v>0.9502711191673654</v>
      </c>
    </row>
    <row r="4" spans="1:2" x14ac:dyDescent="0.3">
      <c r="A4" s="1">
        <v>45933</v>
      </c>
      <c r="B4">
        <v>0.48004572098472231</v>
      </c>
    </row>
    <row r="5" spans="1:2" x14ac:dyDescent="0.3">
      <c r="A5" s="1">
        <v>45934</v>
      </c>
      <c r="B5">
        <v>0.81056004546681371</v>
      </c>
    </row>
    <row r="6" spans="1:2" x14ac:dyDescent="0.3">
      <c r="A6" s="1">
        <v>45935</v>
      </c>
      <c r="B6">
        <v>0.77275074837059865</v>
      </c>
    </row>
    <row r="7" spans="1:2" x14ac:dyDescent="0.3">
      <c r="A7" s="1">
        <v>45936</v>
      </c>
      <c r="B7">
        <v>0.89391959644881569</v>
      </c>
    </row>
    <row r="8" spans="1:2" x14ac:dyDescent="0.3">
      <c r="A8" s="1">
        <v>45937</v>
      </c>
      <c r="B8">
        <v>0.73581515128030484</v>
      </c>
    </row>
    <row r="9" spans="1:2" x14ac:dyDescent="0.3">
      <c r="A9" s="1">
        <v>45938</v>
      </c>
      <c r="B9">
        <v>0.40237909323410559</v>
      </c>
    </row>
    <row r="10" spans="1:2" x14ac:dyDescent="0.3">
      <c r="A10" s="1">
        <v>45939</v>
      </c>
      <c r="B10">
        <v>0.74896541494933755</v>
      </c>
    </row>
    <row r="11" spans="1:2" x14ac:dyDescent="0.3">
      <c r="A11" s="1">
        <v>45940</v>
      </c>
      <c r="B11">
        <v>0.69003538957807475</v>
      </c>
    </row>
    <row r="12" spans="1:2" x14ac:dyDescent="0.3">
      <c r="A12" s="1">
        <v>45941</v>
      </c>
      <c r="B12">
        <v>0.46780117210950867</v>
      </c>
    </row>
    <row r="13" spans="1:2" x14ac:dyDescent="0.3">
      <c r="A13" s="1">
        <v>45942</v>
      </c>
      <c r="B13">
        <v>0.25318928251394668</v>
      </c>
    </row>
    <row r="14" spans="1:2" x14ac:dyDescent="0.3">
      <c r="A14" s="1">
        <v>45943</v>
      </c>
      <c r="B14">
        <v>0.3011059074670559</v>
      </c>
    </row>
    <row r="15" spans="1:2" x14ac:dyDescent="0.3">
      <c r="A15" s="1">
        <v>45944</v>
      </c>
      <c r="B15">
        <v>0.21105899350150403</v>
      </c>
    </row>
    <row r="16" spans="1:2" x14ac:dyDescent="0.3">
      <c r="A16" s="1">
        <v>45945</v>
      </c>
      <c r="B16">
        <v>0.76146137719339113</v>
      </c>
    </row>
    <row r="17" spans="1:2" x14ac:dyDescent="0.3">
      <c r="A17" s="1">
        <v>45946</v>
      </c>
      <c r="B17">
        <v>0.91446423125299547</v>
      </c>
    </row>
    <row r="18" spans="1:2" x14ac:dyDescent="0.3">
      <c r="A18" s="1">
        <v>45947</v>
      </c>
      <c r="B18">
        <v>0.48935205539089932</v>
      </c>
    </row>
    <row r="19" spans="1:2" x14ac:dyDescent="0.3">
      <c r="A19" s="1">
        <v>45948</v>
      </c>
      <c r="B19">
        <v>0.17039982914909946</v>
      </c>
    </row>
    <row r="20" spans="1:2" x14ac:dyDescent="0.3">
      <c r="A20" s="1">
        <v>45949</v>
      </c>
      <c r="B20">
        <v>0.9490573889926871</v>
      </c>
    </row>
    <row r="21" spans="1:2" x14ac:dyDescent="0.3">
      <c r="A21" s="1">
        <v>45950</v>
      </c>
      <c r="B21">
        <v>0.55886618260038301</v>
      </c>
    </row>
    <row r="22" spans="1:2" x14ac:dyDescent="0.3">
      <c r="A22" s="1">
        <v>45951</v>
      </c>
    </row>
    <row r="23" spans="1:2" x14ac:dyDescent="0.3">
      <c r="A23" s="1">
        <v>45952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2636-22E2-433F-B227-E8838A25B55F}">
  <dimension ref="A1:C14"/>
  <sheetViews>
    <sheetView workbookViewId="0">
      <selection activeCell="C2" sqref="C2"/>
    </sheetView>
  </sheetViews>
  <sheetFormatPr defaultRowHeight="14.4" x14ac:dyDescent="0.3"/>
  <cols>
    <col min="3" max="3" width="9.88671875" bestFit="1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>
        <v>1</v>
      </c>
      <c r="B2">
        <v>1</v>
      </c>
      <c r="C2">
        <f t="array" ref="C2:C14">GROWTH(B2:B11,A2:A11,A2:A14)</f>
        <v>0.94811680638338214</v>
      </c>
    </row>
    <row r="3" spans="1:3" x14ac:dyDescent="0.3">
      <c r="A3">
        <v>2</v>
      </c>
      <c r="B3">
        <v>1</v>
      </c>
      <c r="C3">
        <v>1.6719673204563166</v>
      </c>
    </row>
    <row r="4" spans="1:3" x14ac:dyDescent="0.3">
      <c r="A4">
        <v>3</v>
      </c>
      <c r="B4">
        <v>4</v>
      </c>
      <c r="C4">
        <v>2.9484497077288299</v>
      </c>
    </row>
    <row r="5" spans="1:3" x14ac:dyDescent="0.3">
      <c r="A5">
        <v>4</v>
      </c>
      <c r="B5">
        <v>5</v>
      </c>
      <c r="C5">
        <v>5.1994770308271434</v>
      </c>
    </row>
    <row r="6" spans="1:3" x14ac:dyDescent="0.3">
      <c r="A6">
        <v>5</v>
      </c>
      <c r="B6">
        <v>10</v>
      </c>
      <c r="C6">
        <v>9.1690766585683363</v>
      </c>
    </row>
    <row r="7" spans="1:3" x14ac:dyDescent="0.3">
      <c r="A7">
        <v>6</v>
      </c>
      <c r="B7">
        <v>19</v>
      </c>
      <c r="C7">
        <v>16.169312081243742</v>
      </c>
    </row>
    <row r="8" spans="1:3" x14ac:dyDescent="0.3">
      <c r="A8">
        <v>7</v>
      </c>
      <c r="B8">
        <v>34</v>
      </c>
      <c r="C8">
        <v>28.513956521056866</v>
      </c>
    </row>
    <row r="9" spans="1:3" x14ac:dyDescent="0.3">
      <c r="A9">
        <v>8</v>
      </c>
      <c r="B9">
        <v>55</v>
      </c>
      <c r="C9">
        <v>50.283259572177293</v>
      </c>
    </row>
    <row r="10" spans="1:3" x14ac:dyDescent="0.3">
      <c r="A10">
        <v>9</v>
      </c>
      <c r="B10">
        <v>84</v>
      </c>
      <c r="C10">
        <v>88.672583593784779</v>
      </c>
    </row>
    <row r="11" spans="1:3" x14ac:dyDescent="0.3">
      <c r="A11">
        <v>10</v>
      </c>
      <c r="B11">
        <v>120</v>
      </c>
      <c r="C11">
        <v>156.37067183185164</v>
      </c>
    </row>
    <row r="12" spans="1:3" x14ac:dyDescent="0.3">
      <c r="A12">
        <v>11</v>
      </c>
      <c r="C12">
        <v>275.75363227443518</v>
      </c>
    </row>
    <row r="13" spans="1:3" x14ac:dyDescent="0.3">
      <c r="A13">
        <v>12</v>
      </c>
      <c r="C13">
        <v>486.28086598177231</v>
      </c>
    </row>
    <row r="14" spans="1:3" x14ac:dyDescent="0.3">
      <c r="A14">
        <v>13</v>
      </c>
      <c r="C14">
        <v>857.53750066524663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F899-137F-4EBC-AD7F-BEA490D79BE0}">
  <dimension ref="A1:D23"/>
  <sheetViews>
    <sheetView tabSelected="1" workbookViewId="0">
      <selection activeCell="D23" sqref="D23"/>
    </sheetView>
  </sheetViews>
  <sheetFormatPr defaultRowHeight="14.4" x14ac:dyDescent="0.3"/>
  <sheetData>
    <row r="1" spans="1:3" ht="28.8" x14ac:dyDescent="0.3">
      <c r="A1" s="3" t="s">
        <v>4</v>
      </c>
      <c r="B1" s="2" t="s">
        <v>7</v>
      </c>
      <c r="C1" s="3" t="s">
        <v>6</v>
      </c>
    </row>
    <row r="2" spans="1:3" x14ac:dyDescent="0.3">
      <c r="A2">
        <v>1</v>
      </c>
      <c r="B2">
        <v>22</v>
      </c>
      <c r="C2">
        <f t="array" ref="C2:C18">GROWTH(B2:B16,A2:A16,A2:A18)</f>
        <v>18.342633194713667</v>
      </c>
    </row>
    <row r="3" spans="1:3" x14ac:dyDescent="0.3">
      <c r="A3">
        <v>2</v>
      </c>
      <c r="B3">
        <v>24</v>
      </c>
      <c r="C3">
        <v>21.558907583143498</v>
      </c>
    </row>
    <row r="4" spans="1:3" x14ac:dyDescent="0.3">
      <c r="A4">
        <v>3</v>
      </c>
      <c r="B4">
        <v>28</v>
      </c>
      <c r="C4">
        <v>25.339137039085163</v>
      </c>
    </row>
    <row r="5" spans="1:3" x14ac:dyDescent="0.3">
      <c r="A5">
        <v>4</v>
      </c>
      <c r="B5">
        <v>30</v>
      </c>
      <c r="C5">
        <v>29.782207814071324</v>
      </c>
    </row>
    <row r="6" spans="1:3" x14ac:dyDescent="0.3">
      <c r="A6">
        <v>5</v>
      </c>
      <c r="B6">
        <v>34</v>
      </c>
      <c r="C6">
        <v>35.004345290543249</v>
      </c>
    </row>
    <row r="7" spans="1:3" x14ac:dyDescent="0.3">
      <c r="A7">
        <v>6</v>
      </c>
      <c r="B7">
        <v>37</v>
      </c>
      <c r="C7">
        <v>41.142154297931292</v>
      </c>
    </row>
    <row r="8" spans="1:3" x14ac:dyDescent="0.3">
      <c r="A8">
        <v>7</v>
      </c>
      <c r="B8">
        <v>38</v>
      </c>
      <c r="C8">
        <v>48.356192530533605</v>
      </c>
    </row>
    <row r="9" spans="1:3" x14ac:dyDescent="0.3">
      <c r="A9">
        <v>8</v>
      </c>
      <c r="B9">
        <v>48</v>
      </c>
      <c r="C9">
        <v>56.835170543502855</v>
      </c>
    </row>
    <row r="10" spans="1:3" x14ac:dyDescent="0.3">
      <c r="A10">
        <v>9</v>
      </c>
      <c r="B10">
        <v>57</v>
      </c>
      <c r="C10">
        <v>66.800888193779571</v>
      </c>
    </row>
    <row r="11" spans="1:3" x14ac:dyDescent="0.3">
      <c r="A11">
        <v>10</v>
      </c>
      <c r="B11">
        <v>71</v>
      </c>
      <c r="C11">
        <v>78.514036657323899</v>
      </c>
    </row>
    <row r="12" spans="1:3" x14ac:dyDescent="0.3">
      <c r="A12">
        <v>11</v>
      </c>
      <c r="B12">
        <v>94</v>
      </c>
      <c r="C12">
        <v>92.281017796431485</v>
      </c>
    </row>
    <row r="13" spans="1:3" x14ac:dyDescent="0.3">
      <c r="A13">
        <v>12</v>
      </c>
      <c r="B13">
        <v>115</v>
      </c>
      <c r="C13">
        <v>108.4619592635725</v>
      </c>
    </row>
    <row r="14" spans="1:3" x14ac:dyDescent="0.3">
      <c r="A14">
        <v>13</v>
      </c>
      <c r="B14">
        <v>143</v>
      </c>
      <c r="C14">
        <v>127.48013500722114</v>
      </c>
    </row>
    <row r="15" spans="1:3" x14ac:dyDescent="0.3">
      <c r="A15">
        <v>14</v>
      </c>
      <c r="B15">
        <v>168</v>
      </c>
      <c r="C15">
        <v>149.83303760876623</v>
      </c>
    </row>
    <row r="16" spans="1:3" x14ac:dyDescent="0.3">
      <c r="A16">
        <v>15</v>
      </c>
      <c r="B16">
        <v>195</v>
      </c>
      <c r="C16">
        <v>176.10539208950686</v>
      </c>
    </row>
    <row r="17" spans="1:4" x14ac:dyDescent="0.3">
      <c r="A17">
        <v>16</v>
      </c>
      <c r="C17">
        <v>206.98445161325674</v>
      </c>
    </row>
    <row r="18" spans="1:4" x14ac:dyDescent="0.3">
      <c r="A18">
        <v>17</v>
      </c>
      <c r="C18">
        <v>243.2779752017222</v>
      </c>
    </row>
    <row r="23" spans="1:4" x14ac:dyDescent="0.3">
      <c r="D23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Среднее</vt:lpstr>
      <vt:lpstr>Акции</vt:lpstr>
      <vt:lpstr>Тренд</vt:lpstr>
      <vt:lpstr>Рост</vt:lpstr>
      <vt:lpstr>Рост2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 0</cp:lastModifiedBy>
  <dcterms:created xsi:type="dcterms:W3CDTF">2015-06-05T18:19:34Z</dcterms:created>
  <dcterms:modified xsi:type="dcterms:W3CDTF">2025-10-22T06:38:12Z</dcterms:modified>
</cp:coreProperties>
</file>